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a2a697098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que A" sheetId="1" r:id="Rbe139a5e1b0f44b1"/>
    <x:sheet xmlns:r="http://schemas.openxmlformats.org/officeDocument/2006/relationships" name="Pruebas" sheetId="2" r:id="Re9ab2ebef5424fb5"/>
    <x:sheet xmlns:r="http://schemas.openxmlformats.org/officeDocument/2006/relationships" name="Rúbrica" sheetId="3" r:id="Rbdb294ec03f2446f"/>
    <x:sheet xmlns:r="http://schemas.openxmlformats.org/officeDocument/2006/relationships" name="Pendientes" sheetId="4" r:id="Rffd17e2c5a15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C5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12218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097dcf6b04307" /><Relationship Type="http://schemas.openxmlformats.org/officeDocument/2006/relationships/theme" Target="/xl/theme/theme1.xml" Id="R73d43bccb8c44169" /><Relationship Type="http://schemas.openxmlformats.org/officeDocument/2006/relationships/sharedStrings" Target="/xl/sharedStrings.xml" Id="R5a275ee8af944d08" /><Relationship Type="http://schemas.openxmlformats.org/officeDocument/2006/relationships/worksheet" Target="/xl/worksheets/sheet1.xml" Id="Rbe139a5e1b0f44b1" /><Relationship Type="http://schemas.openxmlformats.org/officeDocument/2006/relationships/worksheet" Target="/xl/worksheets/sheet2.xml" Id="Re9ab2ebef5424fb5" /><Relationship Type="http://schemas.openxmlformats.org/officeDocument/2006/relationships/worksheet" Target="/xl/worksheets/sheet3.xml" Id="Rbdb294ec03f2446f" /><Relationship Type="http://schemas.openxmlformats.org/officeDocument/2006/relationships/worksheet" Target="/xl/worksheets/sheet4.xml" Id="Rffd17e2c5a1545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48" hidden="0" customWidth="1"/>
    <x:col min="4" max="4" width="20" hidden="0" customWidth="1"/>
    <x:col min="5" max="5" width="20" hidden="0" customWidth="1"/>
    <x:col min="6" max="6" width="22" hidden="0" customWidth="1"/>
    <x:col min="7" max="7" width="23" hidden="0" customWidth="1"/>
  </x:cols>
  <x:sheetData>
    <x:row r="2">
      <x:c r="A2" s="1" t="str">
        <x:v>Seguimiento de Tsung-Hao al 20 de octubre de 2026</x:v>
      </x:c>
    </x:row>
    <x:row r="5" ht="34" customHeight="1">
      <x:c r="A5" s="7" t="str">
        <x:v>Endpoint</x:v>
      </x:c>
      <x:c r="B5" s="7" t="str">
        <x:v>Sprint</x:v>
      </x:c>
      <x:c r="C5" s="7" t="str">
        <x:v>Función</x:v>
      </x:c>
      <x:c r="D5" s="7" t="str">
        <x:v>Implementación</x:v>
      </x:c>
      <x:c r="E5" s="7" t="str">
        <x:v>Pruebas locales</x:v>
      </x:c>
      <x:c r="F5" s="7" t="str">
        <x:v>Revisión humana</x:v>
      </x:c>
      <x:c r="G5" s="7" t="str">
        <x:v>Aceptación</x:v>
      </x:c>
    </x:row>
    <x:row r="6" ht="54" customHeight="1">
      <x:c r="A6" s="4" t="str">
        <x:v>E01</x:v>
      </x:c>
      <x:c r="B6" s="4" t="n">
        <x:v>1</x:v>
      </x:c>
      <x:c r="C6" s="4" t="str">
        <x:v>POST /admin/auth/login</x:v>
      </x:c>
      <x:c r="D6" s="4" t="str">
        <x:v>Implementada</x:v>
      </x:c>
      <x:c r="E6" s="4" t="str">
        <x:v>Aprobadas</x:v>
      </x:c>
      <x:c r="F6" s="8" t="str">
        <x:v>Pendiente</x:v>
      </x:c>
      <x:c r="G6" s="4" t="str">
        <x:f>IF(AND(D6="Implementada",E6="Aprobadas",F6="Aprobada"),"Lista para integrar","Revisión pendiente")</x:f>
        <x:v>Revisión pendiente</x:v>
      </x:c>
    </x:row>
    <x:row r="7" ht="54" customHeight="1">
      <x:c r="A7" s="4" t="str">
        <x:v>E08</x:v>
      </x:c>
      <x:c r="B7" s="4" t="n">
        <x:v>3</x:v>
      </x:c>
      <x:c r="C7" s="4" t="str">
        <x:v>GET /admin/platforms</x:v>
      </x:c>
      <x:c r="D7" s="4" t="str">
        <x:v>Implementada</x:v>
      </x:c>
      <x:c r="E7" s="4" t="str">
        <x:v>Aprobadas</x:v>
      </x:c>
      <x:c r="F7" s="8" t="str">
        <x:v>Pendiente</x:v>
      </x:c>
      <x:c r="G7" s="4" t="str">
        <x:f>IF(AND(D7="Implementada",E7="Aprobadas",F7="Aprobada"),"Lista para integrar","Revisión pendiente")</x:f>
        <x:v>Revisión pendiente</x:v>
      </x:c>
    </x:row>
    <x:row r="8" ht="54" customHeight="1">
      <x:c r="A8" s="4" t="str">
        <x:v>E09</x:v>
      </x:c>
      <x:c r="B8" s="4" t="n">
        <x:v>4</x:v>
      </x:c>
      <x:c r="C8" s="4" t="str">
        <x:v>GET /admin/services</x:v>
      </x:c>
      <x:c r="D8" s="4" t="str">
        <x:v>Implementada</x:v>
      </x:c>
      <x:c r="E8" s="4" t="str">
        <x:v>Aprobadas</x:v>
      </x:c>
      <x:c r="F8" s="8" t="str">
        <x:v>Pendiente</x:v>
      </x:c>
      <x:c r="G8" s="4" t="str">
        <x:f>IF(AND(D8="Implementada",E8="Aprobadas",F8="Aprobada"),"Lista para integrar","Revisión pendiente")</x:f>
        <x:v>Revisión pendiente</x:v>
      </x:c>
    </x:row>
    <x:row r="9" ht="54" customHeight="1">
      <x:c r="A9" s="4" t="str">
        <x:v>E10</x:v>
      </x:c>
      <x:c r="B9" s="4" t="n">
        <x:v>4</x:v>
      </x:c>
      <x:c r="C9" s="4" t="str">
        <x:v>GET /admin/containers</x:v>
      </x:c>
      <x:c r="D9" s="4" t="str">
        <x:v>Implementada</x:v>
      </x:c>
      <x:c r="E9" s="4" t="str">
        <x:v>Aprobadas</x:v>
      </x:c>
      <x:c r="F9" s="8" t="str">
        <x:v>Pendiente</x:v>
      </x:c>
      <x:c r="G9" s="4" t="str">
        <x:f>IF(AND(D9="Implementada",E9="Aprobadas",F9="Aprobada"),"Lista para integrar","Revisión pendiente")</x:f>
        <x:v>Revisión pendiente</x:v>
      </x:c>
    </x:row>
    <x:row r="10" ht="54" customHeight="1">
      <x:c r="A10" s="4" t="str">
        <x:v>E11</x:v>
      </x:c>
      <x:c r="B10" s="4" t="n">
        <x:v>5</x:v>
      </x:c>
      <x:c r="C10" s="4" t="str">
        <x:v>POST /admin/containers/{name}/restart</x:v>
      </x:c>
      <x:c r="D10" s="4" t="str">
        <x:v>Implementada</x:v>
      </x:c>
      <x:c r="E10" s="4" t="str">
        <x:v>Aprobadas</x:v>
      </x:c>
      <x:c r="F10" s="8" t="str">
        <x:v>Pendiente</x:v>
      </x:c>
      <x:c r="G10" s="4" t="str">
        <x:f>IF(AND(D10="Implementada",E10="Aprobadas",F10="Aprobada"),"Lista para integrar","Revisión pendiente")</x:f>
        <x:v>Revisión pendiente</x:v>
      </x:c>
    </x:row>
    <x:row r="11" ht="54" customHeight="1">
      <x:c r="A11" s="4" t="str">
        <x:v>E12</x:v>
      </x:c>
      <x:c r="B11" s="4" t="n">
        <x:v>1</x:v>
      </x:c>
      <x:c r="C11" s="4" t="str">
        <x:v>GET /admin/users</x:v>
      </x:c>
      <x:c r="D11" s="4" t="str">
        <x:v>Implementada</x:v>
      </x:c>
      <x:c r="E11" s="4" t="str">
        <x:v>Aprobadas</x:v>
      </x:c>
      <x:c r="F11" s="8" t="str">
        <x:v>Pendiente</x:v>
      </x:c>
      <x:c r="G11" s="4" t="str">
        <x:f>IF(AND(D11="Implementada",E11="Aprobadas",F11="Aprobada"),"Lista para integrar","Revisión pendiente")</x:f>
        <x:v>Revisión pendiente</x:v>
      </x:c>
    </x:row>
    <x:row r="12" ht="54" customHeight="1">
      <x:c r="A12" s="4" t="str">
        <x:v>E13</x:v>
      </x:c>
      <x:c r="B12" s="4" t="n">
        <x:v>1</x:v>
      </x:c>
      <x:c r="C12" s="4" t="str">
        <x:v>GET /admin/users/{id}</x:v>
      </x:c>
      <x:c r="D12" s="4" t="str">
        <x:v>Implementada</x:v>
      </x:c>
      <x:c r="E12" s="4" t="str">
        <x:v>Aprobadas</x:v>
      </x:c>
      <x:c r="F12" s="8" t="str">
        <x:v>Pendiente</x:v>
      </x:c>
      <x:c r="G12" s="4" t="str">
        <x:f>IF(AND(D12="Implementada",E12="Aprobadas",F12="Aprobada"),"Lista para integrar","Revisión pendiente")</x:f>
        <x:v>Revisión pendiente</x:v>
      </x:c>
    </x:row>
    <x:row r="13" ht="54" customHeight="1">
      <x:c r="A13" s="4" t="str">
        <x:v>E14</x:v>
      </x:c>
      <x:c r="B13" s="4" t="n">
        <x:v>2</x:v>
      </x:c>
      <x:c r="C13" s="4" t="str">
        <x:v>PATCH /admin/users/{id}</x:v>
      </x:c>
      <x:c r="D13" s="4" t="str">
        <x:v>Implementada</x:v>
      </x:c>
      <x:c r="E13" s="4" t="str">
        <x:v>Aprobadas</x:v>
      </x:c>
      <x:c r="F13" s="8" t="str">
        <x:v>Pendiente</x:v>
      </x:c>
      <x:c r="G13" s="4" t="str">
        <x:f>IF(AND(D13="Implementada",E13="Aprobadas",F13="Aprobada"),"Lista para integrar","Revisión pendiente")</x:f>
        <x:v>Revisión pendiente</x:v>
      </x:c>
    </x:row>
    <x:row r="14" ht="54" customHeight="1">
      <x:c r="A14" s="4" t="str">
        <x:v>E15</x:v>
      </x:c>
      <x:c r="B14" s="4" t="n">
        <x:v>2</x:v>
      </x:c>
      <x:c r="C14" s="4" t="str">
        <x:v>GET /admin/tickets</x:v>
      </x:c>
      <x:c r="D14" s="4" t="str">
        <x:v>Implementada</x:v>
      </x:c>
      <x:c r="E14" s="4" t="str">
        <x:v>Aprobadas</x:v>
      </x:c>
      <x:c r="F14" s="8" t="str">
        <x:v>Pendiente</x:v>
      </x:c>
      <x:c r="G14" s="4" t="str">
        <x:f>IF(AND(D14="Implementada",E14="Aprobadas",F14="Aprobada"),"Lista para integrar","Revisión pendiente")</x:f>
        <x:v>Revisión pendiente</x:v>
      </x:c>
    </x:row>
    <x:row r="15" ht="54" customHeight="1">
      <x:c r="A15" s="4" t="str">
        <x:v>E16</x:v>
      </x:c>
      <x:c r="B15" s="4" t="n">
        <x:v>2</x:v>
      </x:c>
      <x:c r="C15" s="4" t="str">
        <x:v>PATCH /admin/tickets/{id}</x:v>
      </x:c>
      <x:c r="D15" s="4" t="str">
        <x:v>Implementada</x:v>
      </x:c>
      <x:c r="E15" s="4" t="str">
        <x:v>Aprobadas</x:v>
      </x:c>
      <x:c r="F15" s="8" t="str">
        <x:v>Pendiente</x:v>
      </x:c>
      <x:c r="G15" s="4" t="str">
        <x:f>IF(AND(D15="Implementada",E15="Aprobadas",F15="Aprobada"),"Lista para integrar","Revisión pendiente")</x:f>
        <x:v>Revisión pendiente</x:v>
      </x:c>
    </x:row>
    <x:row r="17">
      <x:c r="A17" t="str">
        <x:v>Revisadas</x:v>
      </x:c>
      <x:c r="B17" t="n">
        <x:f>COUNTIFS(F6:F15,"Aprobada")</x:f>
        <x:v>0</x:v>
      </x:c>
    </x:row>
    <x:row r="19" ht="30" customHeight="1">
      <x:c r="A19" s="9" t="str">
        <x:v>E09: una sonda real local. Falta configurar los servicios de negocio; no se afirma disponibilidad empresarial.</x:v>
      </x:c>
      <x:c r="B19" s="9"/>
      <x:c r="C19" s="9"/>
      <x:c r="D19" s="9"/>
      <x:c r="E19" s="9"/>
      <x:c r="F19" s="9"/>
      <x:c r="G19" s="9"/>
    </x:row>
    <x:row r="20" ht="30" customHeight="1">
      <x:c r="A20" s="9" t="str">
        <x:v>Fuentes: endpoints.json, plan 08 y reportes de pruebas. Campos amarillos: completar solo tras revisión real.</x:v>
      </x:c>
      <x:c r="B20" s="9"/>
      <x:c r="C20" s="9"/>
      <x:c r="D20" s="9"/>
      <x:c r="E20" s="9"/>
      <x:c r="F20" s="9"/>
      <x:c r="G20" s="9"/>
    </x:row>
  </x:sheetData>
  <x:mergeCells>
    <x:mergeCell ref="A19:G19"/>
    <x:mergeCell ref="A20:G20"/>
  </x:mergeCells>
  <x:dataValidations count="1">
    <x:dataValidation type="list" sqref="F6:F15">
      <x:formula1>"Pendiente,Aprobada,Con observaciones"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68" hidden="0" customWidth="1"/>
  </x:cols>
  <x:sheetData>
    <x:row r="2">
      <x:c r="A2" s="1" t="str">
        <x:v>Regresión A y común del 20/10. Resultados completos A/B/C en guía 04.</x:v>
      </x:c>
    </x:row>
    <x:row r="5" ht="34" customHeight="1">
      <x:c r="A5" s="7" t="str">
        <x:v>Suite</x:v>
      </x:c>
      <x:c r="B5" s="7" t="str">
        <x:v>Ejecutadas</x:v>
      </x:c>
      <x:c r="C5" s="7" t="str">
        <x:v>Aprobadas</x:v>
      </x:c>
      <x:c r="D5" s="7" t="str">
        <x:v>Fallidas</x:v>
      </x:c>
      <x:c r="E5" s="7" t="str">
        <x:v>Resultado</x:v>
      </x:c>
      <x:c r="F5" s="7" t="str">
        <x:v>Evidencia</x:v>
      </x:c>
    </x:row>
    <x:row r="6" ht="54" customHeight="1">
      <x:c r="A6" s="4" t="str">
        <x:v>unit</x:v>
      </x:c>
      <x:c r="B6" s="4" t="n">
        <x:v>15</x:v>
      </x:c>
      <x:c r="C6" s="4" t="n">
        <x:v>15</x:v>
      </x:c>
      <x:c r="D6" s="4" t="n">
        <x:v>0</x:v>
      </x:c>
      <x:c r="E6" s="4" t="str">
        <x:f>IF(D6&gt;0,"Con fallos","Sin fallos")</x:f>
        <x:v>Sin fallos</x:v>
      </x:c>
      <x:c r="F6" s="4" t="str">
        <x:v>../evidencias/integracion/final-unit.txt</x:v>
      </x:c>
    </x:row>
    <x:row r="7" ht="54" customHeight="1">
      <x:c r="A7" s="4" t="str">
        <x:v>a-sprint1</x:v>
      </x:c>
      <x:c r="B7" s="4" t="n">
        <x:v>8</x:v>
      </x:c>
      <x:c r="C7" s="4" t="n">
        <x:v>8</x:v>
      </x:c>
      <x:c r="D7" s="4" t="n">
        <x:v>0</x:v>
      </x:c>
      <x:c r="E7" s="4" t="str">
        <x:f>IF(D7&gt;0,"Con fallos","Sin fallos")</x:f>
        <x:v>Sin fallos</x:v>
      </x:c>
      <x:c r="F7" s="4" t="str">
        <x:v>../evidencias/integracion/final-a-sprint1.txt</x:v>
      </x:c>
    </x:row>
    <x:row r="8" ht="54" customHeight="1">
      <x:c r="A8" s="4" t="str">
        <x:v>a-sprint2</x:v>
      </x:c>
      <x:c r="B8" s="4" t="n">
        <x:v>7</x:v>
      </x:c>
      <x:c r="C8" s="4" t="n">
        <x:v>7</x:v>
      </x:c>
      <x:c r="D8" s="4" t="n">
        <x:v>0</x:v>
      </x:c>
      <x:c r="E8" s="4" t="str">
        <x:f>IF(D8&gt;0,"Con fallos","Sin fallos")</x:f>
        <x:v>Sin fallos</x:v>
      </x:c>
      <x:c r="F8" s="4" t="str">
        <x:v>../evidencias/integracion/final-a-sprint2.txt</x:v>
      </x:c>
    </x:row>
    <x:row r="9" ht="54" customHeight="1">
      <x:c r="A9" s="4" t="str">
        <x:v>a-ops</x:v>
      </x:c>
      <x:c r="B9" s="4" t="n">
        <x:v>8</x:v>
      </x:c>
      <x:c r="C9" s="4" t="n">
        <x:v>8</x:v>
      </x:c>
      <x:c r="D9" s="4" t="n">
        <x:v>0</x:v>
      </x:c>
      <x:c r="E9" s="4" t="str">
        <x:f>IF(D9&gt;0,"Con fallos","Sin fallos")</x:f>
        <x:v>Sin fallos</x:v>
      </x:c>
      <x:c r="F9" s="4" t="str">
        <x:v>../evidencias/integracion/final-a-ops.txt</x:v>
      </x:c>
    </x:row>
    <x:row r="10" ht="54" customHeight="1">
      <x:c r="A10" s="4" t="str">
        <x:v>smoke</x:v>
      </x:c>
      <x:c r="B10" s="4" t="n">
        <x:v>7</x:v>
      </x:c>
      <x:c r="C10" s="4" t="n">
        <x:v>7</x:v>
      </x:c>
      <x:c r="D10" s="4" t="n">
        <x:v>0</x:v>
      </x:c>
      <x:c r="E10" s="4" t="str">
        <x:f>IF(D10&gt;0,"Con fallos","Sin fallos")</x:f>
        <x:v>Sin fallos</x:v>
      </x:c>
      <x:c r="F10" s="4" t="str">
        <x:v>../evidencias/integracion/final-smoke.txt</x:v>
      </x:c>
    </x:row>
    <x:row r="11" ht="54" customHeight="1">
      <x:c r="A11" s="4" t="str">
        <x:v>frontend-unit</x:v>
      </x:c>
      <x:c r="B11" s="4" t="n">
        <x:v>15</x:v>
      </x:c>
      <x:c r="C11" s="4" t="n">
        <x:v>15</x:v>
      </x:c>
      <x:c r="D11" s="4" t="n">
        <x:v>0</x:v>
      </x:c>
      <x:c r="E11" s="4" t="str">
        <x:f>IF(D11&gt;0,"Con fallos","Sin fallos")</x:f>
        <x:v>Sin fallos</x:v>
      </x:c>
      <x:c r="F11" s="4" t="str">
        <x:v>../evidencias/integracion/final-frontend-unit.txt</x:v>
      </x:c>
    </x:row>
    <x:row r="12" ht="54" customHeight="1">
      <x:c r="A12" s="4" t="str">
        <x:v>contract</x:v>
      </x:c>
      <x:c r="B12" s="4" t="n">
        <x:v>8</x:v>
      </x:c>
      <x:c r="C12" s="4" t="n">
        <x:v>8</x:v>
      </x:c>
      <x:c r="D12" s="4" t="n">
        <x:v>0</x:v>
      </x:c>
      <x:c r="E12" s="4" t="str">
        <x:f>IF(D12&gt;0,"Con fallos","Sin fallos")</x:f>
        <x:v>Sin fallos</x:v>
      </x:c>
      <x:c r="F12" s="4" t="str">
        <x:v>../evidencias/integracion/final-contract.txt</x:v>
      </x:c>
    </x:row>
  </x:sheetData>
  <x:conditionalFormatting sqref="D6:D12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33" hidden="0" customWidth="1"/>
    <x:col min="5" max="5" width="48" hidden="0" customWidth="1"/>
    <x:col min="6" max="6" width="34" hidden="0" customWidth="1"/>
  </x:cols>
  <x:sheetData>
    <x:row r="2">
      <x:c r="A2" s="1" t="str">
        <x:v>Evidencias para la evaluación de Fase 2</x:v>
      </x:c>
    </x:row>
    <x:row r="5" ht="34" customHeight="1">
      <x:c r="A5" s="7" t="str">
        <x:v>Pauta</x:v>
      </x:c>
      <x:c r="B5" s="7" t="str">
        <x:v>N.º</x:v>
      </x:c>
      <x:c r="C5" s="7" t="str">
        <x:v>Peso (%)</x:v>
      </x:c>
      <x:c r="D5" s="7" t="str">
        <x:v>Indicador</x:v>
      </x:c>
      <x:c r="E5" s="7" t="str">
        <x:v>Evidencia disponible</x:v>
      </x:c>
      <x:c r="F5" s="7" t="str">
        <x:v>Pendiente</x:v>
      </x:c>
    </x:row>
    <x:row r="6" ht="54" customHeight="1">
      <x:c r="A6" s="4" t="str">
        <x:v>Avance</x:v>
      </x:c>
      <x:c r="B6" s="4" t="n">
        <x:v>1</x:v>
      </x:c>
      <x:c r="C6" s="4" t="n">
        <x:v>10</x:v>
      </x:c>
      <x:c r="D6" s="4" t="str">
        <x:v>Ajustes justificados</x:v>
      </x:c>
      <x:c r="E6" s="4" t="str">
        <x:v>Plan 08 y cambios de MFA, auditoría y operación</x:v>
      </x:c>
      <x:c r="F6" s="4" t="str">
        <x:v>Validar con equipo</x:v>
      </x:c>
    </x:row>
    <x:row r="7" ht="54" customHeight="1">
      <x:c r="A7" s="4" t="str">
        <x:v>Avance</x:v>
      </x:c>
      <x:c r="B7" s="4" t="n">
        <x:v>2</x:v>
      </x:c>
      <x:c r="C7" s="4" t="n">
        <x:v>10</x:v>
      </x:c>
      <x:c r="D7" s="4" t="str">
        <x:v>Metodología</x:v>
      </x:c>
      <x:c r="E7" s="4" t="str">
        <x:v>Secuencia S1–S5 y pruebas por incremento</x:v>
      </x:c>
      <x:c r="F7" s="4" t="str">
        <x:v>Ceremonias no registradas</x:v>
      </x:c>
    </x:row>
    <x:row r="8" ht="54" customHeight="1">
      <x:c r="A8" s="4" t="str">
        <x:v>Avance</x:v>
      </x:c>
      <x:c r="B8" s="4" t="n">
        <x:v>3</x:v>
      </x:c>
      <x:c r="C8" s="4" t="n">
        <x:v>25</x:v>
      </x:c>
      <x:c r="D8" s="4" t="str">
        <x:v>Código, datos y documentación</x:v>
      </x:c>
      <x:c r="E8" s="4" t="str">
        <x:v>Pruebas Docker y transacciones Firestore</x:v>
      </x:c>
      <x:c r="F8" s="4" t="str">
        <x:v>Revisión de pares</x:v>
      </x:c>
    </x:row>
    <x:row r="9" ht="54" customHeight="1">
      <x:c r="A9" s="4" t="str">
        <x:v>Avance</x:v>
      </x:c>
      <x:c r="B9" s="4" t="n">
        <x:v>4</x:v>
      </x:c>
      <x:c r="C9" s="4" t="n">
        <x:v>5</x:v>
      </x:c>
      <x:c r="D9" s="4" t="str">
        <x:v>Lenguaje técnico</x:v>
      </x:c>
      <x:c r="E9" s="4" t="str">
        <x:v>Guía de reproducción y contratos</x:v>
      </x:c>
      <x:c r="F9" s="4" t="str">
        <x:v>Revisión editorial</x:v>
      </x:c>
    </x:row>
    <x:row r="10" ht="54" customHeight="1">
      <x:c r="A10" s="4" t="str">
        <x:v>Avance</x:v>
      </x:c>
      <x:c r="B10" s="4" t="n">
        <x:v>5</x:v>
      </x:c>
      <x:c r="C10" s="4" t="n">
        <x:v>5</x:v>
      </x:c>
      <x:c r="D10" s="4" t="str">
        <x:v>Redacción y referencias</x:v>
      </x:c>
      <x:c r="E10" s="4" t="str">
        <x:v>Fuentes en guía técnica</x:v>
      </x:c>
      <x:c r="F10" s="4" t="str">
        <x:v>Revisión editorial</x:v>
      </x:c>
    </x:row>
    <x:row r="11" ht="54" customHeight="1">
      <x:c r="A11" s="4" t="str">
        <x:v>Avance</x:v>
      </x:c>
      <x:c r="B11" s="4" t="n">
        <x:v>6</x:v>
      </x:c>
      <x:c r="C11" s="4" t="n">
        <x:v>20</x:v>
      </x:c>
      <x:c r="D11" s="4" t="str">
        <x:v>Documentación y evidencia en Git</x:v>
      </x:c>
      <x:c r="E11" s="4" t="str">
        <x:v>Archivos preparados en rama local</x:v>
      </x:c>
      <x:c r="F11" s="4" t="str">
        <x:v>Commit/push pendiente</x:v>
      </x:c>
    </x:row>
    <x:row r="12" ht="54" customHeight="1">
      <x:c r="A12" s="4" t="str">
        <x:v>Avance</x:v>
      </x:c>
      <x:c r="B12" s="4" t="n">
        <x:v>7</x:v>
      </x:c>
      <x:c r="C12" s="4" t="n">
        <x:v>15</x:v>
      </x:c>
      <x:c r="D12" s="4" t="str">
        <x:v>Aportes identificables y equidad</x:v>
      </x:c>
      <x:c r="E12" s="4" t="str">
        <x:v>Bloque A con asistencia IA declarada</x:v>
      </x:c>
      <x:c r="F12" s="4" t="str">
        <x:v>Revisar aportes B/C</x:v>
      </x:c>
    </x:row>
    <x:row r="13" ht="54" customHeight="1">
      <x:c r="A13" s="4" t="str">
        <x:v>Avance</x:v>
      </x:c>
      <x:c r="B13" s="4" t="n">
        <x:v>8</x:v>
      </x:c>
      <x:c r="C13" s="4" t="n">
        <x:v>10</x:v>
      </x:c>
      <x:c r="D13" s="4" t="str">
        <x:v>Dominio y participación</x:v>
      </x:c>
      <x:c r="E13" s="4" t="str">
        <x:v>Guion de demostración preparado</x:v>
      </x:c>
      <x:c r="F13" s="4" t="str">
        <x:v>Demostración personal pendiente</x:v>
      </x:c>
    </x:row>
    <x:row r="14" ht="54" customHeight="1">
      <x:c r="A14" s="4" t="str">
        <x:v>Final</x:v>
      </x:c>
      <x:c r="B14" s="4" t="n">
        <x:v>1</x:v>
      </x:c>
      <x:c r="C14" s="4" t="n">
        <x:v>10</x:v>
      </x:c>
      <x:c r="D14" s="4" t="str">
        <x:v>Metodología y objetivos</x:v>
      </x:c>
      <x:c r="E14" s="4" t="str">
        <x:v>Plan y evidencias por sprint</x:v>
      </x:c>
      <x:c r="F14" s="4" t="str">
        <x:v>Proyecto grupal pendiente</x:v>
      </x:c>
    </x:row>
    <x:row r="15" ht="54" customHeight="1">
      <x:c r="A15" s="4" t="str">
        <x:v>Final</x:v>
      </x:c>
      <x:c r="B15" s="4" t="n">
        <x:v>2</x:v>
      </x:c>
      <x:c r="C15" s="4" t="n">
        <x:v>20</x:v>
      </x:c>
      <x:c r="D15" s="4" t="str">
        <x:v>Cumplimiento técnico</x:v>
      </x:c>
      <x:c r="E15" s="4" t="str">
        <x:v>Regresión conjunta A/B/C en Docker</x:v>
      </x:c>
      <x:c r="F15" s="4" t="str">
        <x:v>B/C e integración pendientes</x:v>
      </x:c>
    </x:row>
    <x:row r="16" ht="54" customHeight="1">
      <x:c r="A16" s="4" t="str">
        <x:v>Final</x:v>
      </x:c>
      <x:c r="B16" s="4" t="n">
        <x:v>3</x:v>
      </x:c>
      <x:c r="C16" s="4" t="n">
        <x:v>5</x:v>
      </x:c>
      <x:c r="D16" s="4" t="str">
        <x:v>Intereses profesionales</x:v>
      </x:c>
      <x:c r="E16" s="4" t="str">
        <x:v>Requiere reflexión propia</x:v>
      </x:c>
      <x:c r="F16" s="4" t="str">
        <x:v>Completar por Tsung-Hao</x:v>
      </x:c>
    </x:row>
    <x:row r="17" ht="54" customHeight="1">
      <x:c r="A17" s="4" t="str">
        <x:v>Final</x:v>
      </x:c>
      <x:c r="B17" s="4" t="n">
        <x:v>4</x:v>
      </x:c>
      <x:c r="C17" s="4" t="n">
        <x:v>5</x:v>
      </x:c>
      <x:c r="D17" s="4" t="str">
        <x:v>Perfil de egreso</x:v>
      </x:c>
      <x:c r="E17" s="4" t="str">
        <x:v>Backend, datos y pruebas aplicados</x:v>
      </x:c>
      <x:c r="F17" s="4" t="str">
        <x:v>Relacionar con informe final</x:v>
      </x:c>
    </x:row>
    <x:row r="18" ht="54" customHeight="1">
      <x:c r="A18" s="4" t="str">
        <x:v>Final</x:v>
      </x:c>
      <x:c r="B18" s="4" t="n">
        <x:v>5</x:v>
      </x:c>
      <x:c r="C18" s="4" t="n">
        <x:v>5</x:v>
      </x:c>
      <x:c r="D18" s="4" t="str">
        <x:v>Lenguaje técnico</x:v>
      </x:c>
      <x:c r="E18" s="4" t="str">
        <x:v>Guía técnica A</x:v>
      </x:c>
      <x:c r="F18" s="4" t="str">
        <x:v>Revisión editorial</x:v>
      </x:c>
    </x:row>
    <x:row r="19" ht="54" customHeight="1">
      <x:c r="A19" s="4" t="str">
        <x:v>Final</x:v>
      </x:c>
      <x:c r="B19" s="4" t="n">
        <x:v>6</x:v>
      </x:c>
      <x:c r="C19" s="4" t="n">
        <x:v>5</x:v>
      </x:c>
      <x:c r="D19" s="4" t="str">
        <x:v>Redacción y citas</x:v>
      </x:c>
      <x:c r="E19" s="4" t="str">
        <x:v>Fuentes técnicas oficiales</x:v>
      </x:c>
      <x:c r="F19" s="4" t="str">
        <x:v>Revisión editorial</x:v>
      </x:c>
    </x:row>
    <x:row r="20" ht="54" customHeight="1">
      <x:c r="A20" s="4" t="str">
        <x:v>Final</x:v>
      </x:c>
      <x:c r="B20" s="4" t="n">
        <x:v>7</x:v>
      </x:c>
      <x:c r="C20" s="4" t="n">
        <x:v>15</x:v>
      </x:c>
      <x:c r="D20" s="4" t="str">
        <x:v>Entregables y Git</x:v>
      </x:c>
      <x:c r="E20" s="4" t="str">
        <x:v>Evidencias preparadas localmente</x:v>
      </x:c>
      <x:c r="F20" s="4" t="str">
        <x:v>Entrega formal pendiente</x:v>
      </x:c>
    </x:row>
    <x:row r="21" ht="54" customHeight="1">
      <x:c r="A21" s="4" t="str">
        <x:v>Final</x:v>
      </x:c>
      <x:c r="B21" s="4" t="n">
        <x:v>8</x:v>
      </x:c>
      <x:c r="C21" s="4" t="n">
        <x:v>10</x:v>
      </x:c>
      <x:c r="D21" s="4" t="str">
        <x:v>Defensa técnica</x:v>
      </x:c>
      <x:c r="E21" s="4" t="str">
        <x:v>Guion y comandos de prueba</x:v>
      </x:c>
      <x:c r="F21" s="4" t="str">
        <x:v>Defensa no realizada</x:v>
      </x:c>
    </x:row>
    <x:row r="22" ht="54" customHeight="1">
      <x:c r="A22" s="4" t="str">
        <x:v>Final</x:v>
      </x:c>
      <x:c r="B22" s="4" t="n">
        <x:v>9</x:v>
      </x:c>
      <x:c r="C22" s="4" t="n">
        <x:v>15</x:v>
      </x:c>
      <x:c r="D22" s="4" t="str">
        <x:v>Equidad de aportes</x:v>
      </x:c>
      <x:c r="E22" s="4" t="str">
        <x:v>Ramas y revisiones individuales</x:v>
      </x:c>
      <x:c r="F22" s="4" t="str">
        <x:v>Verificación grupal pendiente</x:v>
      </x:c>
    </x:row>
    <x:row r="23" ht="54" customHeight="1">
      <x:c r="A23" s="4" t="str">
        <x:v>Final</x:v>
      </x:c>
      <x:c r="B23" s="4" t="n">
        <x:v>10</x:v>
      </x:c>
      <x:c r="C23" s="4" t="n">
        <x:v>10</x:v>
      </x:c>
      <x:c r="D23" s="4" t="str">
        <x:v>Colaboración</x:v>
      </x:c>
      <x:c r="E23" s="4" t="str">
        <x:v>Revisión circular propuesta</x:v>
      </x:c>
      <x:c r="F23" s="4" t="str">
        <x:v>No inventar asistencia</x:v>
      </x:c>
    </x:row>
    <x:row r="25" ht="26" customHeight="1">
      <x:c r="A25" s="9" t="str">
        <x:v>Fuentes: planillas originales de evaluación de avance y final Fase 2. No se asignan notas ni niveles de logro.</x:v>
      </x:c>
      <x:c r="B25" s="9"/>
      <x:c r="C25" s="9"/>
      <x:c r="D25" s="9"/>
      <x:c r="E25" s="9"/>
      <x:c r="F25" s="9"/>
    </x:row>
    <x:row r="26" ht="26" customHeight="1">
      <x:c r="A26" s="9"/>
      <x:c r="B26" s="9"/>
      <x:c r="C26" s="9"/>
      <x:c r="D26" s="9"/>
      <x:c r="E26" s="9"/>
      <x:c r="F26" s="9"/>
    </x:row>
  </x:sheetData>
  <x:mergeCells>
    <x:mergeCell ref="A25:F25"/>
    <x:mergeCell ref="A26:F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68" hidden="0" customWidth="1"/>
    <x:col min="4" max="4" width="24" hidden="0" customWidth="1"/>
    <x:col min="5" max="5" width="22" hidden="0" customWidth="1"/>
  </x:cols>
  <x:sheetData>
    <x:row r="2">
      <x:c r="A2" s="1" t="str">
        <x:v>Decisiones y controles de entrega</x:v>
      </x:c>
    </x:row>
    <x:row r="5" ht="34" customHeight="1">
      <x:c r="A5" s="7" t="str">
        <x:v>ID</x:v>
      </x:c>
      <x:c r="B5" s="7" t="str">
        <x:v>Situación</x:v>
      </x:c>
      <x:c r="C5" s="7" t="str">
        <x:v>Acción</x:v>
      </x:c>
      <x:c r="D5" s="7" t="str">
        <x:v>Responsable</x:v>
      </x:c>
      <x:c r="E5" s="7" t="str">
        <x:v>Estado</x:v>
      </x:c>
    </x:row>
    <x:row r="6" ht="54" customHeight="1">
      <x:c r="A6" s="4" t="str">
        <x:v>A-01</x:v>
      </x:c>
      <x:c r="B6" s="4" t="str">
        <x:v>Código generado con asistencia IA</x:v>
      </x:c>
      <x:c r="C6" s="4" t="str">
        <x:v>Leer, reproducir y explicar el bloque antes de presentarlo</x:v>
      </x:c>
      <x:c r="D6" s="4" t="str">
        <x:v>Tsung-Hao</x:v>
      </x:c>
      <x:c r="E6" s="4" t="str">
        <x:v>Pendiente</x:v>
      </x:c>
    </x:row>
    <x:row r="7" ht="54" customHeight="1">
      <x:c r="A7" s="4" t="str">
        <x:v>A-02</x:v>
      </x:c>
      <x:c r="B7" s="4" t="str">
        <x:v>Cambios compartidos en auth y errores</x:v>
      </x:c>
      <x:c r="C7" s="4" t="str">
        <x:v>Revisión de Felipe; no integrar directo a main</x:v>
      </x:c>
      <x:c r="D7" s="4" t="str">
        <x:v>Felipe / Tsung-Hao</x:v>
      </x:c>
      <x:c r="E7" s="4" t="str">
        <x:v>Pendiente</x:v>
      </x:c>
    </x:row>
    <x:row r="8" ht="54" customHeight="1">
      <x:c r="A8" s="4" t="str">
        <x:v>A-03</x:v>
      </x:c>
      <x:c r="B8" s="4" t="str">
        <x:v>Docker bridge tiene acceso privilegiado al daemon</x:v>
      </x:c>
      <x:c r="C8" s="4" t="str">
        <x:v>Usar solo laboratorio local; detener al terminar</x:v>
      </x:c>
      <x:c r="D8" s="4" t="str">
        <x:v>Tsung-Hao</x:v>
      </x:c>
      <x:c r="E8" s="4" t="str">
        <x:v>Controlado local</x:v>
      </x:c>
    </x:row>
    <x:row r="9" ht="54" customHeight="1">
      <x:c r="A9" s="4" t="str">
        <x:v>A-04</x:v>
      </x:c>
      <x:c r="B9" s="4" t="str">
        <x:v>E09 prueba una sonda HTTP local</x:v>
      </x:c>
      <x:c r="C9" s="4" t="str">
        <x:v>Configurar URLs autorizadas de login, badges, preguntas, pagos y notificaciones</x:v>
      </x:c>
      <x:c r="D9" s="4" t="str">
        <x:v>Equipo</x:v>
      </x:c>
      <x:c r="E9" s="4" t="str">
        <x:v>Pendiente</x:v>
      </x:c>
    </x:row>
    <x:row r="10" ht="54" customHeight="1">
      <x:c r="A10" s="4" t="str">
        <x:v>A-05</x:v>
      </x:c>
      <x:c r="B10" s="4" t="str">
        <x:v>Correo único usa lectura de colección y bloqueo global</x:v>
      </x:c>
      <x:c r="C10" s="4" t="str">
        <x:v>Migrar a índice normalizado antes de escalar; coordinar todos los escritores</x:v>
      </x:c>
      <x:c r="D10" s="4" t="str">
        <x:v>Tsung-Hao / Equipo</x:v>
      </x:c>
      <x:c r="E10" s="4" t="str">
        <x:v>Deuda técnica</x:v>
      </x:c>
    </x:row>
    <x:row r="11" ht="54" customHeight="1">
      <x:c r="A11" s="4" t="str">
        <x:v>A-06</x:v>
      </x:c>
      <x:c r="B11" s="4" t="str">
        <x:v>Ocho detectores contractuales aprobados</x:v>
      </x:c>
      <x:c r="C11" s="4" t="str">
        <x:v>Corregir note en E18 y validar Stripe real; ver guía 04</x:v>
      </x:c>
      <x:c r="D11" s="4" t="str">
        <x:v>Catalina / Felipe</x:v>
      </x:c>
      <x:c r="E11" s="4" t="str">
        <x:v>Pendientes puntuales</x:v>
      </x:c>
    </x:row>
    <x:row r="12" ht="54" customHeight="1">
      <x:c r="A12" s="4" t="str">
        <x:v>A-07</x:v>
      </x:c>
      <x:c r="B12" s="4" t="str">
        <x:v>Hito 1 28/09–03/10; Hito 2 26–31/10</x:v>
      </x:c>
      <x:c r="C12" s="4" t="str">
        <x:v>Confirmar alcance de MVP y actualizar fechas reales del equipo</x:v>
      </x:c>
      <x:c r="D12" s="4" t="str">
        <x:v>Equipo</x:v>
      </x:c>
      <x:c r="E12" s="4" t="str">
        <x:v>Pendiente</x:v>
      </x:c>
    </x:row>
    <x:row r="13" ht="54" customHeight="1">
      <x:c r="A13" s="4" t="str">
        <x:v>A-08</x:v>
      </x:c>
      <x:c r="B13" s="4" t="str">
        <x:v>Gantt histórico llega a diciembre</x:v>
      </x:c>
      <x:c r="C13" s="4" t="str">
        <x:v>Replanificar con hitos comunicados; no falsear fechas de cierre</x:v>
      </x:c>
      <x:c r="D13" s="4" t="str">
        <x:v>Equipo</x:v>
      </x:c>
      <x:c r="E13" s="4" t="str">
        <x:v>Pendiente</x:v>
      </x:c>
    </x:row>
    <x:row r="14" ht="54" customHeight="1">
      <x:c r="A14" s="4" t="str">
        <x:v>A-09</x:v>
      </x:c>
      <x:c r="B14" s="4" t="str">
        <x:v>Endurecimiento productivo no evaluado</x:v>
      </x:c>
      <x:c r="C14" s="4" t="str">
        <x:v>Revisar rate limiting, rotación refresh, secretos MFA, dependencias y despliegue</x:v>
      </x:c>
      <x:c r="D14" s="4" t="str">
        <x:v>Equipo</x:v>
      </x:c>
      <x:c r="E14" s="4" t="str">
        <x:v>Pendiente</x:v>
      </x:c>
    </x:row>
    <x:row r="15" ht="54" customHeight="1">
      <x:c r="A15" s="4" t="str">
        <x:v>A-10</x:v>
      </x:c>
      <x:c r="B15" s="4" t="str">
        <x:v>Integración local de A/B/C preparada</x:v>
      </x:c>
      <x:c r="C15" s="4" t="str">
        <x:v>Revisar antes de autorizar publicación de la rama integrada</x:v>
      </x:c>
      <x:c r="D15" s="4" t="str">
        <x:v>Tsung-Hao</x:v>
      </x:c>
      <x:c r="E15" s="4" t="str">
        <x:v>Sin push nuevo</x:v>
      </x:c>
    </x:row>
  </x:sheetData>
  <x:pageMargins left="0.7" right="0.7" top="0.75" bottom="0.75" header="0.3" footer="0.3"/>
</x:worksheet>
</file>